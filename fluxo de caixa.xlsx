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OneDrive\Área de Trabalho\PROJETOS\"/>
    </mc:Choice>
  </mc:AlternateContent>
  <xr:revisionPtr revIDLastSave="0" documentId="13_ncr:1_{3D4F9D67-15D3-4DFF-927F-6287DD7F166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ercadoria" sheetId="1" r:id="rId1"/>
    <sheet name="Vendas" sheetId="8" r:id="rId2"/>
  </sheets>
  <definedNames>
    <definedName name="SegmentaçãodeDados_Data">#N/A</definedName>
    <definedName name="SegmentaçãodeDados_Mê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V1" i="8"/>
  <c r="U1" i="8"/>
  <c r="T1" i="8"/>
  <c r="S1" i="8"/>
  <c r="R1" i="8"/>
</calcChain>
</file>

<file path=xl/sharedStrings.xml><?xml version="1.0" encoding="utf-8"?>
<sst xmlns="http://schemas.openxmlformats.org/spreadsheetml/2006/main" count="23" uniqueCount="20">
  <si>
    <t>MERCADORIA</t>
  </si>
  <si>
    <t>Data</t>
  </si>
  <si>
    <t>Mês</t>
  </si>
  <si>
    <t>Dia</t>
  </si>
  <si>
    <t>Pago</t>
  </si>
  <si>
    <t>Descrição</t>
  </si>
  <si>
    <t>Tipo</t>
  </si>
  <si>
    <t>Carro</t>
  </si>
  <si>
    <t>ENTRADA</t>
  </si>
  <si>
    <t>Pix</t>
  </si>
  <si>
    <t>Valor</t>
  </si>
  <si>
    <t>Moto</t>
  </si>
  <si>
    <t>Credito</t>
  </si>
  <si>
    <t>jetski</t>
  </si>
  <si>
    <t>boleto de energia</t>
  </si>
  <si>
    <t>SAIDA</t>
  </si>
  <si>
    <t>Dinheiro</t>
  </si>
  <si>
    <t>Valor Pago</t>
  </si>
  <si>
    <t xml:space="preserve"> Lucro</t>
  </si>
  <si>
    <t>Valor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</si>
</sst>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6" fillId="2" borderId="0" xfId="0" applyFont="1" applyFill="1"/>
    <xf numFmtId="44" fontId="7" fillId="2" borderId="0" xfId="1" applyFon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8" fillId="2" borderId="0" xfId="0" applyFont="1" applyFill="1"/>
    <xf numFmtId="0" fontId="9" fillId="0" borderId="0" xfId="0" applyFont="1" applyAlignment="1">
      <alignment horizontal="center" vertical="center"/>
    </xf>
    <xf numFmtId="0" fontId="0" fillId="0" borderId="3" xfId="0" applyBorder="1"/>
    <xf numFmtId="44" fontId="0" fillId="0" borderId="4" xfId="0" applyNumberFormat="1" applyBorder="1"/>
    <xf numFmtId="10" fontId="0" fillId="0" borderId="4" xfId="0" applyNumberFormat="1" applyBorder="1"/>
    <xf numFmtId="0" fontId="0" fillId="0" borderId="2" xfId="0" applyBorder="1"/>
    <xf numFmtId="44" fontId="0" fillId="0" borderId="1" xfId="0" applyNumberFormat="1" applyBorder="1"/>
    <xf numFmtId="10" fontId="0" fillId="0" borderId="1" xfId="0" applyNumberFormat="1" applyBorder="1"/>
    <xf numFmtId="9" fontId="0" fillId="0" borderId="1" xfId="2" applyFont="1" applyFill="1" applyBorder="1"/>
    <xf numFmtId="10" fontId="0" fillId="0" borderId="1" xfId="2" applyNumberFormat="1" applyFont="1" applyFill="1" applyBorder="1"/>
    <xf numFmtId="0" fontId="0" fillId="0" borderId="5" xfId="0" applyBorder="1"/>
    <xf numFmtId="44" fontId="0" fillId="0" borderId="6" xfId="0" applyNumberFormat="1" applyBorder="1"/>
    <xf numFmtId="10" fontId="0" fillId="0" borderId="6" xfId="0" applyNumberFormat="1" applyBorder="1"/>
    <xf numFmtId="0" fontId="4" fillId="2" borderId="0" xfId="0" applyFont="1" applyFill="1"/>
    <xf numFmtId="0" fontId="10" fillId="2" borderId="0" xfId="0" applyFont="1" applyFill="1"/>
    <xf numFmtId="44" fontId="10" fillId="2" borderId="0" xfId="1" applyFont="1" applyFill="1"/>
    <xf numFmtId="44" fontId="0" fillId="2" borderId="0" xfId="1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44" fontId="0" fillId="0" borderId="0" xfId="1" applyFont="1" applyFill="1" applyBorder="1" applyAlignment="1"/>
    <xf numFmtId="0" fontId="5" fillId="3" borderId="0" xfId="0" applyFont="1" applyFill="1" applyAlignment="1">
      <alignment horizontal="center" vertical="center"/>
    </xf>
    <xf numFmtId="44" fontId="0" fillId="0" borderId="0" xfId="1" applyFont="1" applyFill="1" applyAlignment="1"/>
  </cellXfs>
  <cellStyles count="3">
    <cellStyle name="Moeda" xfId="1" builtinId="4"/>
    <cellStyle name="Normal" xfId="0" builtinId="0"/>
    <cellStyle name="Porcentagem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none">
          <fgColor theme="0" tint="-0.14999847407452621"/>
          <bgColor auto="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rgb="FFFF4343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1F1F1F"/>
      <color rgb="FFFFCC00"/>
      <color rgb="FFFF4343"/>
      <color rgb="FFFF2929"/>
      <color rgb="FFFF9966"/>
      <color rgb="FFE13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Vendas!A1"/><Relationship Id="rId1" Type="http://schemas.openxmlformats.org/officeDocument/2006/relationships/hyperlink" Target="#Mercadoria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Vendas!A1"/><Relationship Id="rId1" Type="http://schemas.openxmlformats.org/officeDocument/2006/relationships/hyperlink" Target="#Mercadori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374283</xdr:colOff>
      <xdr:row>3</xdr:row>
      <xdr:rowOff>138602</xdr:rowOff>
    </xdr:from>
    <xdr:to>
      <xdr:col>9</xdr:col>
      <xdr:colOff>153011</xdr:colOff>
      <xdr:row>5</xdr:row>
      <xdr:rowOff>109294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09745" y="1237640"/>
          <a:ext cx="2174631" cy="351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endParaRPr lang="pt-BR" sz="28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  <xdr:twoCellAnchor>
    <xdr:from>
      <xdr:col>0</xdr:col>
      <xdr:colOff>7327</xdr:colOff>
      <xdr:row>0</xdr:row>
      <xdr:rowOff>73269</xdr:rowOff>
    </xdr:from>
    <xdr:to>
      <xdr:col>1</xdr:col>
      <xdr:colOff>1598601</xdr:colOff>
      <xdr:row>0</xdr:row>
      <xdr:rowOff>424961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327" y="73269"/>
          <a:ext cx="2199409" cy="351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2800" b="1" cap="none" spc="0">
              <a:ln/>
              <a:solidFill>
                <a:schemeClr val="accent4"/>
              </a:solidFill>
              <a:effectLst/>
            </a:rPr>
            <a:t>NOME LOJA</a:t>
          </a:r>
        </a:p>
      </xdr:txBody>
    </xdr:sp>
    <xdr:clientData/>
  </xdr:twoCellAnchor>
  <xdr:twoCellAnchor>
    <xdr:from>
      <xdr:col>1</xdr:col>
      <xdr:colOff>1676822</xdr:colOff>
      <xdr:row>0</xdr:row>
      <xdr:rowOff>87923</xdr:rowOff>
    </xdr:from>
    <xdr:to>
      <xdr:col>3</xdr:col>
      <xdr:colOff>122183</xdr:colOff>
      <xdr:row>0</xdr:row>
      <xdr:rowOff>410307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289143" y="87923"/>
          <a:ext cx="1990022" cy="322384"/>
          <a:chOff x="2247849" y="102577"/>
          <a:chExt cx="1649316" cy="322384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247849" y="102577"/>
            <a:ext cx="1649316" cy="322384"/>
          </a:xfrm>
          <a:prstGeom prst="rect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CaixaDeTexto 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2255176" y="146538"/>
            <a:ext cx="1634662" cy="2271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MERCADORIA</a:t>
            </a:r>
          </a:p>
        </xdr:txBody>
      </xdr:sp>
    </xdr:grpSp>
    <xdr:clientData/>
  </xdr:twoCellAnchor>
  <xdr:twoCellAnchor>
    <xdr:from>
      <xdr:col>3</xdr:col>
      <xdr:colOff>200403</xdr:colOff>
      <xdr:row>0</xdr:row>
      <xdr:rowOff>87923</xdr:rowOff>
    </xdr:from>
    <xdr:to>
      <xdr:col>5</xdr:col>
      <xdr:colOff>0</xdr:colOff>
      <xdr:row>0</xdr:row>
      <xdr:rowOff>410307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4357385" y="87923"/>
          <a:ext cx="1874686" cy="322384"/>
          <a:chOff x="2247849" y="102577"/>
          <a:chExt cx="1649316" cy="322384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247849" y="102577"/>
            <a:ext cx="1649316" cy="322384"/>
          </a:xfrm>
          <a:prstGeom prst="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CaixaDeTexto 1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2255176" y="146538"/>
            <a:ext cx="1634662" cy="2271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VENDAS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40822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0</xdr:colOff>
      <xdr:row>0</xdr:row>
      <xdr:rowOff>546651</xdr:rowOff>
    </xdr:from>
    <xdr:to>
      <xdr:col>3</xdr:col>
      <xdr:colOff>67630</xdr:colOff>
      <xdr:row>1</xdr:row>
      <xdr:rowOff>496956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227135" y="546651"/>
          <a:ext cx="1371822" cy="492497"/>
          <a:chOff x="9923318" y="597476"/>
          <a:chExt cx="1065069" cy="528205"/>
        </a:xfrm>
        <a:effectLst/>
        <a:scene3d>
          <a:camera prst="orthographicFront"/>
          <a:lightRig rig="threePt" dir="t"/>
        </a:scene3d>
      </xdr:grpSpPr>
      <xdr:sp macro="" textlink="$R$1">
        <xdr:nvSpPr>
          <xdr:cNvPr id="9" name="Retângulo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9923319" y="597476"/>
            <a:ext cx="1065068" cy="528205"/>
          </a:xfrm>
          <a:prstGeom prst="rect">
            <a:avLst/>
          </a:prstGeom>
          <a:effectLst>
            <a:outerShdw blurRad="63500" sx="102000" sy="102000" algn="ctr" rotWithShape="0">
              <a:schemeClr val="tx1">
                <a:alpha val="0"/>
              </a:schemeClr>
            </a:outerShdw>
            <a:softEdge rad="31750"/>
          </a:effectLst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38D4508-A9ED-4691-9BD7-285052A8EF72}" type="TxLink">
              <a:rPr lang="en-US" sz="1400" b="0" i="0" u="none" strike="noStrike">
                <a:solidFill>
                  <a:sysClr val="windowText" lastClr="000000"/>
                </a:solidFill>
                <a:latin typeface="Calibri"/>
              </a:rPr>
              <a:pPr algn="ctr"/>
              <a:t>-R$ 1.000,00 </a:t>
            </a:fld>
            <a:endParaRPr lang="pt-BR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/>
        </xdr:nvSpPr>
        <xdr:spPr>
          <a:xfrm>
            <a:off x="9923318" y="614796"/>
            <a:ext cx="1065068" cy="251113"/>
          </a:xfrm>
          <a:prstGeom prst="rect">
            <a:avLst/>
          </a:prstGeom>
          <a:noFill/>
          <a:ln w="9525" cmpd="sng">
            <a:noFill/>
          </a:ln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>
                <a:solidFill>
                  <a:sysClr val="windowText" lastClr="000000"/>
                </a:solidFill>
              </a:rPr>
              <a:t>DINHEIRO</a:t>
            </a:r>
          </a:p>
        </xdr:txBody>
      </xdr:sp>
    </xdr:grpSp>
    <xdr:clientData/>
  </xdr:twoCellAnchor>
  <xdr:twoCellAnchor>
    <xdr:from>
      <xdr:col>3</xdr:col>
      <xdr:colOff>74537</xdr:colOff>
      <xdr:row>1</xdr:row>
      <xdr:rowOff>0</xdr:rowOff>
    </xdr:from>
    <xdr:to>
      <xdr:col>4</xdr:col>
      <xdr:colOff>498320</xdr:colOff>
      <xdr:row>2</xdr:row>
      <xdr:rowOff>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1605864" y="542192"/>
          <a:ext cx="1368956" cy="498231"/>
          <a:chOff x="9923319" y="597476"/>
          <a:chExt cx="1065069" cy="528205"/>
        </a:xfrm>
      </xdr:grpSpPr>
      <xdr:sp macro="" textlink="$S$1">
        <xdr:nvSpPr>
          <xdr:cNvPr id="16" name="Retângulo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9923320" y="597476"/>
            <a:ext cx="1065068" cy="528205"/>
          </a:xfrm>
          <a:prstGeom prst="rect">
            <a:avLst/>
          </a:prstGeom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025EBCDC-8150-4F5C-9F1E-54E82080FAF1}" type="TxLink">
              <a:rPr lang="en-US" sz="1400" b="0" i="0" u="none" strike="noStrike">
                <a:solidFill>
                  <a:sysClr val="windowText" lastClr="000000"/>
                </a:solidFill>
                <a:latin typeface="Calibri"/>
              </a:rPr>
              <a:pPr algn="ctr"/>
              <a:t> R$ -   </a:t>
            </a:fld>
            <a:endParaRPr lang="pt-BR" sz="14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9923319" y="614796"/>
            <a:ext cx="1065068" cy="251113"/>
          </a:xfrm>
          <a:prstGeom prst="rect">
            <a:avLst/>
          </a:prstGeom>
          <a:noFill/>
          <a:ln w="9525" cmpd="sng"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>
                <a:solidFill>
                  <a:sysClr val="windowText" lastClr="000000"/>
                </a:solidFill>
              </a:rPr>
              <a:t>DEBITO</a:t>
            </a:r>
          </a:p>
        </xdr:txBody>
      </xdr:sp>
    </xdr:grpSp>
    <xdr:clientData/>
  </xdr:twoCellAnchor>
  <xdr:twoCellAnchor>
    <xdr:from>
      <xdr:col>4</xdr:col>
      <xdr:colOff>495586</xdr:colOff>
      <xdr:row>1</xdr:row>
      <xdr:rowOff>0</xdr:rowOff>
    </xdr:from>
    <xdr:to>
      <xdr:col>4</xdr:col>
      <xdr:colOff>1863585</xdr:colOff>
      <xdr:row>2</xdr:row>
      <xdr:rowOff>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2972086" y="542192"/>
          <a:ext cx="1367999" cy="498231"/>
          <a:chOff x="9923318" y="604857"/>
          <a:chExt cx="1065068" cy="528205"/>
        </a:xfrm>
      </xdr:grpSpPr>
      <xdr:sp macro="" textlink="$T$1">
        <xdr:nvSpPr>
          <xdr:cNvPr id="21" name="Retângulo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9923318" y="604857"/>
            <a:ext cx="1065068" cy="528205"/>
          </a:xfrm>
          <a:prstGeom prst="rect">
            <a:avLst/>
          </a:prstGeom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56F253BE-05DD-452F-9CF4-88EA9A163289}" type="TxLink">
              <a:rPr lang="en-US" sz="1400" b="0" i="0" u="none" strike="noStrike">
                <a:solidFill>
                  <a:sysClr val="windowText" lastClr="000000"/>
                </a:solidFill>
                <a:latin typeface="Calibri"/>
              </a:rPr>
              <a:pPr algn="ctr"/>
              <a:t> R$ 20.000,00 </a:t>
            </a:fld>
            <a:endParaRPr lang="pt-BR" sz="14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9923318" y="614796"/>
            <a:ext cx="1065068" cy="251113"/>
          </a:xfrm>
          <a:prstGeom prst="rect">
            <a:avLst/>
          </a:prstGeom>
          <a:noFill/>
          <a:ln w="9525" cmpd="sng"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>
                <a:solidFill>
                  <a:sysClr val="windowText" lastClr="000000"/>
                </a:solidFill>
              </a:rPr>
              <a:t>CREDITO</a:t>
            </a:r>
          </a:p>
        </xdr:txBody>
      </xdr:sp>
    </xdr:grpSp>
    <xdr:clientData/>
  </xdr:twoCellAnchor>
  <xdr:twoCellAnchor>
    <xdr:from>
      <xdr:col>4</xdr:col>
      <xdr:colOff>1863259</xdr:colOff>
      <xdr:row>1</xdr:row>
      <xdr:rowOff>0</xdr:rowOff>
    </xdr:from>
    <xdr:to>
      <xdr:col>6</xdr:col>
      <xdr:colOff>332346</xdr:colOff>
      <xdr:row>2</xdr:row>
      <xdr:rowOff>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>
          <a:grpSpLocks/>
        </xdr:cNvGrpSpPr>
      </xdr:nvGrpSpPr>
      <xdr:grpSpPr>
        <a:xfrm>
          <a:off x="4339759" y="542192"/>
          <a:ext cx="1363222" cy="498231"/>
          <a:chOff x="9923318" y="597476"/>
          <a:chExt cx="1065069" cy="528205"/>
        </a:xfrm>
      </xdr:grpSpPr>
      <xdr:sp macro="" textlink="$U$1">
        <xdr:nvSpPr>
          <xdr:cNvPr id="24" name="Retângulo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9923319" y="597476"/>
            <a:ext cx="1065068" cy="528205"/>
          </a:xfrm>
          <a:prstGeom prst="rect">
            <a:avLst/>
          </a:prstGeom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7349FEB2-D4DE-4E9A-96B3-D966559A2091}" type="TxLink">
              <a:rPr lang="en-US" sz="1400" b="0" i="0" u="none" strike="noStrike">
                <a:solidFill>
                  <a:sysClr val="windowText" lastClr="000000"/>
                </a:solidFill>
                <a:latin typeface="Calibri"/>
              </a:rPr>
              <a:pPr algn="ctr"/>
              <a:t> R$ 50.000,00 </a:t>
            </a:fld>
            <a:endParaRPr lang="pt-BR" sz="14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" name="CaixaDeTexto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923318" y="614796"/>
            <a:ext cx="1065068" cy="251113"/>
          </a:xfrm>
          <a:prstGeom prst="rect">
            <a:avLst/>
          </a:prstGeom>
          <a:noFill/>
          <a:ln w="9525" cmpd="sng"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>
                <a:solidFill>
                  <a:sysClr val="windowText" lastClr="000000"/>
                </a:solidFill>
              </a:rPr>
              <a:t>PIX</a:t>
            </a:r>
          </a:p>
        </xdr:txBody>
      </xdr:sp>
    </xdr:grpSp>
    <xdr:clientData/>
  </xdr:twoCellAnchor>
  <xdr:twoCellAnchor>
    <xdr:from>
      <xdr:col>6</xdr:col>
      <xdr:colOff>342971</xdr:colOff>
      <xdr:row>0</xdr:row>
      <xdr:rowOff>546651</xdr:rowOff>
    </xdr:from>
    <xdr:to>
      <xdr:col>7</xdr:col>
      <xdr:colOff>753717</xdr:colOff>
      <xdr:row>2</xdr:row>
      <xdr:rowOff>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5713606" y="546651"/>
          <a:ext cx="1385226" cy="493772"/>
          <a:chOff x="9923319" y="597476"/>
          <a:chExt cx="1065071" cy="528205"/>
        </a:xfrm>
      </xdr:grpSpPr>
      <xdr:sp macro="" textlink="$V$1">
        <xdr:nvSpPr>
          <xdr:cNvPr id="27" name="Retângulo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923319" y="597476"/>
            <a:ext cx="1065068" cy="528205"/>
          </a:xfrm>
          <a:prstGeom prst="rect">
            <a:avLst/>
          </a:prstGeom>
          <a:scene3d>
            <a:camera prst="orthographicFront"/>
            <a:lightRig rig="threePt" dir="t"/>
          </a:scene3d>
          <a:sp3d>
            <a:bevelT prst="relaxedInset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4A19260D-9AB1-48DC-AB47-2ADA386B57DF}" type="TxLink">
              <a:rPr lang="en-US" sz="1400" b="0" i="0" u="none" strike="noStrike">
                <a:solidFill>
                  <a:sysClr val="windowText" lastClr="000000"/>
                </a:solidFill>
                <a:latin typeface="Calibri"/>
              </a:rPr>
              <a:pPr algn="ctr"/>
              <a:t> R$ 69.000,00 </a:t>
            </a:fld>
            <a:endParaRPr lang="pt-BR" sz="14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 txBox="1"/>
        </xdr:nvSpPr>
        <xdr:spPr>
          <a:xfrm>
            <a:off x="9923321" y="614796"/>
            <a:ext cx="1065069" cy="251113"/>
          </a:xfrm>
          <a:prstGeom prst="rect">
            <a:avLst/>
          </a:prstGeom>
          <a:noFill/>
          <a:ln w="9525" cmpd="sng">
            <a:noFill/>
          </a:ln>
          <a:scene3d>
            <a:camera prst="orthographicFront"/>
            <a:lightRig rig="threePt" dir="t"/>
          </a:scene3d>
          <a:sp3d>
            <a:bevelT prst="relaxedInset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>
                <a:solidFill>
                  <a:sysClr val="windowText" lastClr="000000"/>
                </a:solidFill>
              </a:rPr>
              <a:t>TOTAL</a:t>
            </a:r>
          </a:p>
        </xdr:txBody>
      </xdr:sp>
    </xdr:grpSp>
    <xdr:clientData/>
  </xdr:twoCellAnchor>
  <xdr:twoCellAnchor editAs="absolute">
    <xdr:from>
      <xdr:col>10</xdr:col>
      <xdr:colOff>2634</xdr:colOff>
      <xdr:row>0</xdr:row>
      <xdr:rowOff>0</xdr:rowOff>
    </xdr:from>
    <xdr:to>
      <xdr:col>12</xdr:col>
      <xdr:colOff>0</xdr:colOff>
      <xdr:row>3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0" name="Mês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13942" y="0"/>
              <a:ext cx="1052443" cy="14434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754673</xdr:colOff>
      <xdr:row>0</xdr:row>
      <xdr:rowOff>0</xdr:rowOff>
    </xdr:from>
    <xdr:to>
      <xdr:col>10</xdr:col>
      <xdr:colOff>0</xdr:colOff>
      <xdr:row>3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ata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9788" y="0"/>
              <a:ext cx="1311520" cy="14434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80595</xdr:rowOff>
    </xdr:from>
    <xdr:to>
      <xdr:col>3</xdr:col>
      <xdr:colOff>666750</xdr:colOff>
      <xdr:row>0</xdr:row>
      <xdr:rowOff>432287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0" y="80595"/>
          <a:ext cx="2199409" cy="351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2800" b="1" cap="none" spc="0">
              <a:ln/>
              <a:solidFill>
                <a:schemeClr val="accent4"/>
              </a:solidFill>
              <a:effectLst/>
            </a:rPr>
            <a:t>NOME</a:t>
          </a:r>
          <a:r>
            <a:rPr lang="pt-BR" sz="2800" b="1" cap="none" spc="0" baseline="0">
              <a:ln/>
              <a:solidFill>
                <a:schemeClr val="accent4"/>
              </a:solidFill>
              <a:effectLst/>
            </a:rPr>
            <a:t> LOJA</a:t>
          </a:r>
          <a:endParaRPr lang="pt-BR" sz="28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  <xdr:twoCellAnchor>
    <xdr:from>
      <xdr:col>3</xdr:col>
      <xdr:colOff>744971</xdr:colOff>
      <xdr:row>0</xdr:row>
      <xdr:rowOff>95249</xdr:rowOff>
    </xdr:from>
    <xdr:to>
      <xdr:col>4</xdr:col>
      <xdr:colOff>1448356</xdr:colOff>
      <xdr:row>0</xdr:row>
      <xdr:rowOff>417633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2276298" y="95249"/>
          <a:ext cx="1648558" cy="322384"/>
          <a:chOff x="2247849" y="102577"/>
          <a:chExt cx="1649316" cy="322384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247849" y="102577"/>
            <a:ext cx="1649316" cy="322384"/>
          </a:xfrm>
          <a:prstGeom prst="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2255176" y="146538"/>
            <a:ext cx="1634662" cy="2271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MERCADORIA</a:t>
            </a:r>
          </a:p>
        </xdr:txBody>
      </xdr:sp>
    </xdr:grpSp>
    <xdr:clientData/>
  </xdr:twoCellAnchor>
  <xdr:twoCellAnchor>
    <xdr:from>
      <xdr:col>4</xdr:col>
      <xdr:colOff>1526576</xdr:colOff>
      <xdr:row>0</xdr:row>
      <xdr:rowOff>95249</xdr:rowOff>
    </xdr:from>
    <xdr:to>
      <xdr:col>6</xdr:col>
      <xdr:colOff>278978</xdr:colOff>
      <xdr:row>0</xdr:row>
      <xdr:rowOff>417633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003076" y="95249"/>
          <a:ext cx="1646537" cy="322384"/>
          <a:chOff x="2247849" y="102577"/>
          <a:chExt cx="1649316" cy="322384"/>
        </a:xfrm>
      </xdr:grpSpPr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/>
        </xdr:nvSpPr>
        <xdr:spPr>
          <a:xfrm>
            <a:off x="2247849" y="102577"/>
            <a:ext cx="1649316" cy="322384"/>
          </a:xfrm>
          <a:prstGeom prst="rect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CaixaDeTexto 3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2255176" y="146538"/>
            <a:ext cx="1634662" cy="2271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VENDAS</a:t>
            </a:r>
          </a:p>
        </xdr:txBody>
      </xdr:sp>
    </xdr:grp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00000000-0013-0000-FFFF-FFFF01000000}" sourceName="Mês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00000000-0013-0000-FFFF-FFFF02000000}" sourceName="Data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0000000-0014-0000-FFFF-FFFF01000000}" cache="SegmentaçãodeDados_Mês" caption="Mês" columnCount="2" rowHeight="144000"/>
  <slicer name="Data" xr10:uid="{00000000-0014-0000-FFFF-FFFF02000000}" cache="SegmentaçãodeDados_Data" caption="Data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B2:E82" totalsRowShown="0" headerRowDxfId="17" dataDxfId="16" tableBorderDxfId="15">
  <autoFilter ref="B2:E82" xr:uid="{00000000-0009-0000-0100-000003000000}"/>
  <tableColumns count="4">
    <tableColumn id="1" xr3:uid="{00000000-0010-0000-0000-000001000000}" name="MERCADORIA" dataDxfId="14"/>
    <tableColumn id="2" xr3:uid="{00000000-0010-0000-0000-000002000000}" name="Valor Pago" dataDxfId="13"/>
    <tableColumn id="3" xr3:uid="{00000000-0010-0000-0000-000003000000}" name=" Lucro" dataDxfId="0">
      <calculatedColumnFormula>((Tabela3[[#This Row],[Valor Vendido]]-Tabela3[[#This Row],[Valor Pago]])/Tabela3[[#This Row],[Valor Pago]])</calculatedColumnFormula>
    </tableColumn>
    <tableColumn id="4" xr3:uid="{00000000-0010-0000-0000-000004000000}" name="Valor Vendido" dataDxfId="12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73" displayName="Tabela273" ref="B3:H31" totalsRowShown="0" headerRowDxfId="11" dataDxfId="10">
  <autoFilter ref="B3:H31" xr:uid="{00000000-0009-0000-0100-000002000000}"/>
  <tableColumns count="7">
    <tableColumn id="1" xr3:uid="{00000000-0010-0000-0100-000001000000}" name="Dia" dataDxfId="9"/>
    <tableColumn id="2" xr3:uid="{00000000-0010-0000-0100-000002000000}" name="Mês" dataDxfId="8"/>
    <tableColumn id="3" xr3:uid="{00000000-0010-0000-0100-000003000000}" name="Data" dataDxfId="7"/>
    <tableColumn id="4" xr3:uid="{00000000-0010-0000-0100-000004000000}" name="Descrição" dataDxfId="6"/>
    <tableColumn id="8" xr3:uid="{00000000-0010-0000-0100-000008000000}" name="Tipo" dataDxfId="5"/>
    <tableColumn id="5" xr3:uid="{00000000-0010-0000-0100-000005000000}" name="Valor" dataDxfId="4" dataCellStyle="Moeda"/>
    <tableColumn id="6" xr3:uid="{00000000-0010-0000-0100-000006000000}" name="Pago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showGridLines="0" showRowColHeaders="0" zoomScale="140" zoomScaleNormal="140" workbookViewId="0"/>
  </sheetViews>
  <sheetFormatPr defaultRowHeight="15" x14ac:dyDescent="0.25"/>
  <cols>
    <col min="1" max="1" width="9.140625" style="5"/>
    <col min="2" max="2" width="37" style="5" bestFit="1" customWidth="1"/>
    <col min="3" max="3" width="16.140625" style="5" bestFit="1" customWidth="1"/>
    <col min="4" max="4" width="12.85546875" style="5" customWidth="1"/>
    <col min="5" max="5" width="18.28515625" style="5" customWidth="1"/>
    <col min="6" max="6" width="8.5703125" style="5" customWidth="1"/>
    <col min="7" max="16384" width="9.140625" style="5"/>
  </cols>
  <sheetData>
    <row r="1" spans="1:5" ht="39.950000000000003" customHeight="1" x14ac:dyDescent="0.35">
      <c r="A1" s="3"/>
      <c r="B1" s="3"/>
      <c r="C1" s="4"/>
      <c r="D1" s="4"/>
      <c r="E1" s="4"/>
    </row>
    <row r="2" spans="1:5" s="6" customFormat="1" ht="31.5" customHeight="1" x14ac:dyDescent="0.25">
      <c r="B2" s="7" t="s">
        <v>0</v>
      </c>
      <c r="C2" s="7" t="s">
        <v>17</v>
      </c>
      <c r="D2" s="7" t="s">
        <v>18</v>
      </c>
      <c r="E2" s="7" t="s">
        <v>19</v>
      </c>
    </row>
    <row r="3" spans="1:5" x14ac:dyDescent="0.25">
      <c r="B3" s="8" t="s">
        <v>7</v>
      </c>
      <c r="C3" s="9">
        <v>25000</v>
      </c>
      <c r="D3" s="10">
        <f>((Tabela3[[#This Row],[Valor Vendido]]-Tabela3[[#This Row],[Valor Pago]])/Tabela3[[#This Row],[Valor Pago]])</f>
        <v>1</v>
      </c>
      <c r="E3" s="9">
        <v>50000</v>
      </c>
    </row>
    <row r="4" spans="1:5" x14ac:dyDescent="0.25">
      <c r="B4" s="11" t="s">
        <v>11</v>
      </c>
      <c r="C4" s="12">
        <v>12000</v>
      </c>
      <c r="D4" s="13">
        <f>((Tabela3[[#This Row],[Valor Vendido]]-Tabela3[[#This Row],[Valor Pago]])/Tabela3[[#This Row],[Valor Pago]])</f>
        <v>0.66666666666666663</v>
      </c>
      <c r="E4" s="12">
        <v>20000</v>
      </c>
    </row>
    <row r="5" spans="1:5" x14ac:dyDescent="0.25">
      <c r="B5" s="11" t="s">
        <v>13</v>
      </c>
      <c r="C5" s="12">
        <v>40000</v>
      </c>
      <c r="D5" s="13">
        <f>((Tabela3[[#This Row],[Valor Vendido]]-Tabela3[[#This Row],[Valor Pago]])/Tabela3[[#This Row],[Valor Pago]])</f>
        <v>1.5</v>
      </c>
      <c r="E5" s="12">
        <v>100000</v>
      </c>
    </row>
    <row r="6" spans="1:5" x14ac:dyDescent="0.25">
      <c r="B6" s="11"/>
      <c r="C6" s="12"/>
      <c r="D6" s="13" t="e">
        <f>((Tabela3[[#This Row],[Valor Vendido]]-Tabela3[[#This Row],[Valor Pago]])/Tabela3[[#This Row],[Valor Pago]])</f>
        <v>#DIV/0!</v>
      </c>
      <c r="E6" s="12"/>
    </row>
    <row r="7" spans="1:5" x14ac:dyDescent="0.25">
      <c r="B7" s="11"/>
      <c r="C7" s="12"/>
      <c r="D7" s="13" t="e">
        <f>((Tabela3[[#This Row],[Valor Vendido]]-Tabela3[[#This Row],[Valor Pago]])/Tabela3[[#This Row],[Valor Pago]])</f>
        <v>#DIV/0!</v>
      </c>
      <c r="E7" s="12"/>
    </row>
    <row r="8" spans="1:5" x14ac:dyDescent="0.25">
      <c r="B8" s="11"/>
      <c r="C8" s="12"/>
      <c r="D8" s="13" t="e">
        <f>((Tabela3[[#This Row],[Valor Vendido]]-Tabela3[[#This Row],[Valor Pago]])/Tabela3[[#This Row],[Valor Pago]])</f>
        <v>#DIV/0!</v>
      </c>
      <c r="E8" s="12"/>
    </row>
    <row r="9" spans="1:5" x14ac:dyDescent="0.25">
      <c r="B9" s="11"/>
      <c r="C9" s="12"/>
      <c r="D9" s="15" t="e">
        <f>((Tabela3[[#This Row],[Valor Vendido]]-Tabela3[[#This Row],[Valor Pago]])/Tabela3[[#This Row],[Valor Pago]])</f>
        <v>#DIV/0!</v>
      </c>
      <c r="E9" s="12"/>
    </row>
    <row r="10" spans="1:5" x14ac:dyDescent="0.25">
      <c r="B10" s="11"/>
      <c r="C10" s="12"/>
      <c r="D10" s="15" t="e">
        <f>((Tabela3[[#This Row],[Valor Vendido]]-Tabela3[[#This Row],[Valor Pago]])/Tabela3[[#This Row],[Valor Pago]])</f>
        <v>#DIV/0!</v>
      </c>
      <c r="E10" s="12"/>
    </row>
    <row r="11" spans="1:5" x14ac:dyDescent="0.25">
      <c r="B11" s="11"/>
      <c r="C11" s="12"/>
      <c r="D11" s="15" t="e">
        <f>((Tabela3[[#This Row],[Valor Vendido]]-Tabela3[[#This Row],[Valor Pago]])/Tabela3[[#This Row],[Valor Pago]])</f>
        <v>#DIV/0!</v>
      </c>
      <c r="E11" s="12"/>
    </row>
    <row r="12" spans="1:5" x14ac:dyDescent="0.25">
      <c r="B12" s="11"/>
      <c r="C12" s="12"/>
      <c r="D12" s="13" t="e">
        <f>((Tabela3[[#This Row],[Valor Vendido]]-Tabela3[[#This Row],[Valor Pago]])/Tabela3[[#This Row],[Valor Pago]])</f>
        <v>#DIV/0!</v>
      </c>
      <c r="E12" s="12"/>
    </row>
    <row r="13" spans="1:5" x14ac:dyDescent="0.25">
      <c r="B13" s="11"/>
      <c r="C13" s="12"/>
      <c r="D13" s="13" t="e">
        <f>((Tabela3[[#This Row],[Valor Vendido]]-Tabela3[[#This Row],[Valor Pago]])/Tabela3[[#This Row],[Valor Pago]])</f>
        <v>#DIV/0!</v>
      </c>
      <c r="E13" s="12"/>
    </row>
    <row r="14" spans="1:5" x14ac:dyDescent="0.25">
      <c r="B14" s="11"/>
      <c r="C14" s="12"/>
      <c r="D14" s="13" t="e">
        <f>((Tabela3[[#This Row],[Valor Vendido]]-Tabela3[[#This Row],[Valor Pago]])/Tabela3[[#This Row],[Valor Pago]])</f>
        <v>#DIV/0!</v>
      </c>
      <c r="E14" s="12"/>
    </row>
    <row r="15" spans="1:5" x14ac:dyDescent="0.25">
      <c r="B15" s="11"/>
      <c r="C15" s="12"/>
      <c r="D15" s="13" t="e">
        <f>((Tabela3[[#This Row],[Valor Vendido]]-Tabela3[[#This Row],[Valor Pago]])/Tabela3[[#This Row],[Valor Pago]])</f>
        <v>#DIV/0!</v>
      </c>
      <c r="E15" s="12"/>
    </row>
    <row r="16" spans="1:5" x14ac:dyDescent="0.25">
      <c r="B16" s="11"/>
      <c r="C16" s="12"/>
      <c r="D16" s="13" t="e">
        <f>((Tabela3[[#This Row],[Valor Vendido]]-Tabela3[[#This Row],[Valor Pago]])/Tabela3[[#This Row],[Valor Pago]])</f>
        <v>#DIV/0!</v>
      </c>
      <c r="E16" s="12"/>
    </row>
    <row r="17" spans="2:5" x14ac:dyDescent="0.25">
      <c r="B17" s="11"/>
      <c r="C17" s="12"/>
      <c r="D17" s="13" t="e">
        <f>((Tabela3[[#This Row],[Valor Vendido]]-Tabela3[[#This Row],[Valor Pago]])/Tabela3[[#This Row],[Valor Pago]])</f>
        <v>#DIV/0!</v>
      </c>
      <c r="E17" s="12"/>
    </row>
    <row r="18" spans="2:5" x14ac:dyDescent="0.25">
      <c r="B18" s="11"/>
      <c r="C18" s="12"/>
      <c r="D18" s="13" t="e">
        <f>((Tabela3[[#This Row],[Valor Vendido]]-Tabela3[[#This Row],[Valor Pago]])/Tabela3[[#This Row],[Valor Pago]])</f>
        <v>#DIV/0!</v>
      </c>
      <c r="E18" s="12"/>
    </row>
    <row r="19" spans="2:5" x14ac:dyDescent="0.25">
      <c r="B19" s="11"/>
      <c r="C19" s="12"/>
      <c r="D19" s="13" t="e">
        <f>((Tabela3[[#This Row],[Valor Vendido]]-Tabela3[[#This Row],[Valor Pago]])/Tabela3[[#This Row],[Valor Pago]])</f>
        <v>#DIV/0!</v>
      </c>
      <c r="E19" s="12"/>
    </row>
    <row r="20" spans="2:5" x14ac:dyDescent="0.25">
      <c r="B20" s="11"/>
      <c r="C20" s="12"/>
      <c r="D20" s="13" t="e">
        <f>((Tabela3[[#This Row],[Valor Vendido]]-Tabela3[[#This Row],[Valor Pago]])/Tabela3[[#This Row],[Valor Pago]])</f>
        <v>#DIV/0!</v>
      </c>
      <c r="E20" s="12"/>
    </row>
    <row r="21" spans="2:5" x14ac:dyDescent="0.25">
      <c r="B21" s="11"/>
      <c r="C21" s="12"/>
      <c r="D21" s="13" t="e">
        <f>((Tabela3[[#This Row],[Valor Vendido]]-Tabela3[[#This Row],[Valor Pago]])/Tabela3[[#This Row],[Valor Pago]])</f>
        <v>#DIV/0!</v>
      </c>
      <c r="E21" s="12"/>
    </row>
    <row r="22" spans="2:5" x14ac:dyDescent="0.25">
      <c r="B22" s="11"/>
      <c r="C22" s="12"/>
      <c r="D22" s="13" t="e">
        <f>((Tabela3[[#This Row],[Valor Vendido]]-Tabela3[[#This Row],[Valor Pago]])/Tabela3[[#This Row],[Valor Pago]])</f>
        <v>#DIV/0!</v>
      </c>
      <c r="E22" s="12"/>
    </row>
    <row r="23" spans="2:5" x14ac:dyDescent="0.25">
      <c r="B23" s="11"/>
      <c r="C23" s="12"/>
      <c r="D23" s="13" t="e">
        <f>((Tabela3[[#This Row],[Valor Vendido]]-Tabela3[[#This Row],[Valor Pago]])/Tabela3[[#This Row],[Valor Pago]])</f>
        <v>#DIV/0!</v>
      </c>
      <c r="E23" s="12"/>
    </row>
    <row r="24" spans="2:5" x14ac:dyDescent="0.25">
      <c r="B24" s="11"/>
      <c r="C24" s="12"/>
      <c r="D24" s="13" t="e">
        <f>((Tabela3[[#This Row],[Valor Vendido]]-Tabela3[[#This Row],[Valor Pago]])/Tabela3[[#This Row],[Valor Pago]])</f>
        <v>#DIV/0!</v>
      </c>
      <c r="E24" s="12"/>
    </row>
    <row r="25" spans="2:5" x14ac:dyDescent="0.25">
      <c r="B25" s="11"/>
      <c r="C25" s="12"/>
      <c r="D25" s="13" t="e">
        <f>((Tabela3[[#This Row],[Valor Vendido]]-Tabela3[[#This Row],[Valor Pago]])/Tabela3[[#This Row],[Valor Pago]])</f>
        <v>#DIV/0!</v>
      </c>
      <c r="E25" s="12"/>
    </row>
    <row r="26" spans="2:5" x14ac:dyDescent="0.25">
      <c r="B26" s="11"/>
      <c r="C26" s="12"/>
      <c r="D26" s="13" t="e">
        <f>((Tabela3[[#This Row],[Valor Vendido]]-Tabela3[[#This Row],[Valor Pago]])/Tabela3[[#This Row],[Valor Pago]])</f>
        <v>#DIV/0!</v>
      </c>
      <c r="E26" s="12"/>
    </row>
    <row r="27" spans="2:5" x14ac:dyDescent="0.25">
      <c r="B27" s="11"/>
      <c r="C27" s="12"/>
      <c r="D27" s="13" t="e">
        <f>((Tabela3[[#This Row],[Valor Vendido]]-Tabela3[[#This Row],[Valor Pago]])/Tabela3[[#This Row],[Valor Pago]])</f>
        <v>#DIV/0!</v>
      </c>
      <c r="E27" s="12"/>
    </row>
    <row r="28" spans="2:5" x14ac:dyDescent="0.25">
      <c r="B28" s="11"/>
      <c r="C28" s="12"/>
      <c r="D28" s="13" t="e">
        <f>((Tabela3[[#This Row],[Valor Vendido]]-Tabela3[[#This Row],[Valor Pago]])/Tabela3[[#This Row],[Valor Pago]])</f>
        <v>#DIV/0!</v>
      </c>
      <c r="E28" s="12"/>
    </row>
    <row r="29" spans="2:5" x14ac:dyDescent="0.25">
      <c r="B29" s="11"/>
      <c r="C29" s="12"/>
      <c r="D29" s="13" t="e">
        <f>((Tabela3[[#This Row],[Valor Vendido]]-Tabela3[[#This Row],[Valor Pago]])/Tabela3[[#This Row],[Valor Pago]])</f>
        <v>#DIV/0!</v>
      </c>
      <c r="E29" s="12"/>
    </row>
    <row r="30" spans="2:5" x14ac:dyDescent="0.25">
      <c r="B30" s="11"/>
      <c r="C30" s="12"/>
      <c r="D30" s="13" t="e">
        <f>((Tabela3[[#This Row],[Valor Vendido]]-Tabela3[[#This Row],[Valor Pago]])/Tabela3[[#This Row],[Valor Pago]])</f>
        <v>#DIV/0!</v>
      </c>
      <c r="E30" s="12"/>
    </row>
    <row r="31" spans="2:5" x14ac:dyDescent="0.25">
      <c r="B31" s="11"/>
      <c r="C31" s="12"/>
      <c r="D31" s="13" t="e">
        <f>((Tabela3[[#This Row],[Valor Vendido]]-Tabela3[[#This Row],[Valor Pago]])/Tabela3[[#This Row],[Valor Pago]])</f>
        <v>#DIV/0!</v>
      </c>
      <c r="E31" s="12"/>
    </row>
    <row r="32" spans="2:5" x14ac:dyDescent="0.25">
      <c r="B32" s="11"/>
      <c r="C32" s="12"/>
      <c r="D32" s="13" t="e">
        <f>((Tabela3[[#This Row],[Valor Vendido]]-Tabela3[[#This Row],[Valor Pago]])/Tabela3[[#This Row],[Valor Pago]])</f>
        <v>#DIV/0!</v>
      </c>
      <c r="E32" s="12"/>
    </row>
    <row r="33" spans="2:5" x14ac:dyDescent="0.25">
      <c r="B33" s="11"/>
      <c r="C33" s="12"/>
      <c r="D33" s="13" t="e">
        <f>((Tabela3[[#This Row],[Valor Vendido]]-Tabela3[[#This Row],[Valor Pago]])/Tabela3[[#This Row],[Valor Pago]])</f>
        <v>#DIV/0!</v>
      </c>
      <c r="E33" s="12"/>
    </row>
    <row r="34" spans="2:5" x14ac:dyDescent="0.25">
      <c r="B34" s="11"/>
      <c r="C34" s="12"/>
      <c r="D34" s="13" t="e">
        <f>((Tabela3[[#This Row],[Valor Vendido]]-Tabela3[[#This Row],[Valor Pago]])/Tabela3[[#This Row],[Valor Pago]])</f>
        <v>#DIV/0!</v>
      </c>
      <c r="E34" s="12"/>
    </row>
    <row r="35" spans="2:5" x14ac:dyDescent="0.25">
      <c r="B35" s="11"/>
      <c r="C35" s="12"/>
      <c r="D35" s="13" t="e">
        <f>((Tabela3[[#This Row],[Valor Vendido]]-Tabela3[[#This Row],[Valor Pago]])/Tabela3[[#This Row],[Valor Pago]])</f>
        <v>#DIV/0!</v>
      </c>
      <c r="E35" s="12"/>
    </row>
    <row r="36" spans="2:5" x14ac:dyDescent="0.25">
      <c r="B36" s="11"/>
      <c r="C36" s="12"/>
      <c r="D36" s="13" t="e">
        <f>((Tabela3[[#This Row],[Valor Vendido]]-Tabela3[[#This Row],[Valor Pago]])/Tabela3[[#This Row],[Valor Pago]])</f>
        <v>#DIV/0!</v>
      </c>
      <c r="E36" s="12"/>
    </row>
    <row r="37" spans="2:5" x14ac:dyDescent="0.25">
      <c r="B37" s="11"/>
      <c r="C37" s="12"/>
      <c r="D37" s="13" t="e">
        <f>((Tabela3[[#This Row],[Valor Vendido]]-Tabela3[[#This Row],[Valor Pago]])/Tabela3[[#This Row],[Valor Pago]])</f>
        <v>#DIV/0!</v>
      </c>
      <c r="E37" s="12"/>
    </row>
    <row r="38" spans="2:5" x14ac:dyDescent="0.25">
      <c r="B38" s="11"/>
      <c r="C38" s="12"/>
      <c r="D38" s="13" t="e">
        <f>((Tabela3[[#This Row],[Valor Vendido]]-Tabela3[[#This Row],[Valor Pago]])/Tabela3[[#This Row],[Valor Pago]])</f>
        <v>#DIV/0!</v>
      </c>
      <c r="E38" s="12"/>
    </row>
    <row r="39" spans="2:5" x14ac:dyDescent="0.25">
      <c r="B39" s="11"/>
      <c r="C39" s="12"/>
      <c r="D39" s="13" t="e">
        <f>((Tabela3[[#This Row],[Valor Vendido]]-Tabela3[[#This Row],[Valor Pago]])/Tabela3[[#This Row],[Valor Pago]])</f>
        <v>#DIV/0!</v>
      </c>
      <c r="E39" s="12"/>
    </row>
    <row r="40" spans="2:5" x14ac:dyDescent="0.25">
      <c r="B40" s="11"/>
      <c r="C40" s="12"/>
      <c r="D40" s="13" t="e">
        <f>((Tabela3[[#This Row],[Valor Vendido]]-Tabela3[[#This Row],[Valor Pago]])/Tabela3[[#This Row],[Valor Pago]])</f>
        <v>#DIV/0!</v>
      </c>
      <c r="E40" s="12"/>
    </row>
    <row r="41" spans="2:5" x14ac:dyDescent="0.25">
      <c r="B41" s="11"/>
      <c r="C41" s="12"/>
      <c r="D41" s="13" t="e">
        <f>((Tabela3[[#This Row],[Valor Vendido]]-Tabela3[[#This Row],[Valor Pago]])/Tabela3[[#This Row],[Valor Pago]])</f>
        <v>#DIV/0!</v>
      </c>
      <c r="E41" s="12"/>
    </row>
    <row r="42" spans="2:5" x14ac:dyDescent="0.25">
      <c r="B42" s="11"/>
      <c r="C42" s="12"/>
      <c r="D42" s="13" t="e">
        <f>((Tabela3[[#This Row],[Valor Vendido]]-Tabela3[[#This Row],[Valor Pago]])/Tabela3[[#This Row],[Valor Pago]])</f>
        <v>#DIV/0!</v>
      </c>
      <c r="E42" s="12"/>
    </row>
    <row r="43" spans="2:5" x14ac:dyDescent="0.25">
      <c r="B43" s="11"/>
      <c r="C43" s="12"/>
      <c r="D43" s="13" t="e">
        <f>((Tabela3[[#This Row],[Valor Vendido]]-Tabela3[[#This Row],[Valor Pago]])/Tabela3[[#This Row],[Valor Pago]])</f>
        <v>#DIV/0!</v>
      </c>
      <c r="E43" s="12"/>
    </row>
    <row r="44" spans="2:5" x14ac:dyDescent="0.25">
      <c r="B44" s="11"/>
      <c r="C44" s="12"/>
      <c r="D44" s="13" t="e">
        <f>((Tabela3[[#This Row],[Valor Vendido]]-Tabela3[[#This Row],[Valor Pago]])/Tabela3[[#This Row],[Valor Pago]])</f>
        <v>#DIV/0!</v>
      </c>
      <c r="E44" s="12"/>
    </row>
    <row r="45" spans="2:5" x14ac:dyDescent="0.25">
      <c r="B45" s="11"/>
      <c r="C45" s="12"/>
      <c r="D45" s="14" t="e">
        <f>((Tabela3[[#This Row],[Valor Vendido]]-Tabela3[[#This Row],[Valor Pago]])/Tabela3[[#This Row],[Valor Pago]])</f>
        <v>#DIV/0!</v>
      </c>
      <c r="E45" s="12"/>
    </row>
    <row r="46" spans="2:5" x14ac:dyDescent="0.25">
      <c r="B46" s="11"/>
      <c r="C46" s="12"/>
      <c r="D46" s="14" t="e">
        <f>((Tabela3[[#This Row],[Valor Vendido]]-Tabela3[[#This Row],[Valor Pago]])/Tabela3[[#This Row],[Valor Pago]])</f>
        <v>#DIV/0!</v>
      </c>
      <c r="E46" s="12"/>
    </row>
    <row r="47" spans="2:5" x14ac:dyDescent="0.25">
      <c r="B47" s="11"/>
      <c r="C47" s="12"/>
      <c r="D47" s="14" t="e">
        <f>((Tabela3[[#This Row],[Valor Vendido]]-Tabela3[[#This Row],[Valor Pago]])/Tabela3[[#This Row],[Valor Pago]])</f>
        <v>#DIV/0!</v>
      </c>
      <c r="E47" s="12"/>
    </row>
    <row r="48" spans="2:5" x14ac:dyDescent="0.25">
      <c r="B48" s="11"/>
      <c r="C48" s="12"/>
      <c r="D48" s="14" t="e">
        <f>((Tabela3[[#This Row],[Valor Vendido]]-Tabela3[[#This Row],[Valor Pago]])/Tabela3[[#This Row],[Valor Pago]])</f>
        <v>#DIV/0!</v>
      </c>
      <c r="E48" s="12"/>
    </row>
    <row r="49" spans="2:5" x14ac:dyDescent="0.25">
      <c r="B49" s="11"/>
      <c r="C49" s="12"/>
      <c r="D49" s="14" t="e">
        <f>((Tabela3[[#This Row],[Valor Vendido]]-Tabela3[[#This Row],[Valor Pago]])/Tabela3[[#This Row],[Valor Pago]])</f>
        <v>#DIV/0!</v>
      </c>
      <c r="E49" s="12"/>
    </row>
    <row r="50" spans="2:5" x14ac:dyDescent="0.25">
      <c r="B50" s="11"/>
      <c r="C50" s="12"/>
      <c r="D50" s="14" t="e">
        <f>((Tabela3[[#This Row],[Valor Vendido]]-Tabela3[[#This Row],[Valor Pago]])/Tabela3[[#This Row],[Valor Pago]])</f>
        <v>#DIV/0!</v>
      </c>
      <c r="E50" s="12"/>
    </row>
    <row r="51" spans="2:5" x14ac:dyDescent="0.25">
      <c r="B51" s="11"/>
      <c r="C51" s="12"/>
      <c r="D51" s="14" t="e">
        <f>((Tabela3[[#This Row],[Valor Vendido]]-Tabela3[[#This Row],[Valor Pago]])/Tabela3[[#This Row],[Valor Pago]])</f>
        <v>#DIV/0!</v>
      </c>
      <c r="E51" s="12"/>
    </row>
    <row r="52" spans="2:5" x14ac:dyDescent="0.25">
      <c r="B52" s="11"/>
      <c r="C52" s="12"/>
      <c r="D52" s="14" t="e">
        <f>((Tabela3[[#This Row],[Valor Vendido]]-Tabela3[[#This Row],[Valor Pago]])/Tabela3[[#This Row],[Valor Pago]])</f>
        <v>#DIV/0!</v>
      </c>
      <c r="E52" s="12"/>
    </row>
    <row r="53" spans="2:5" x14ac:dyDescent="0.25">
      <c r="B53" s="11"/>
      <c r="C53" s="12"/>
      <c r="D53" s="14" t="e">
        <f>((Tabela3[[#This Row],[Valor Vendido]]-Tabela3[[#This Row],[Valor Pago]])/Tabela3[[#This Row],[Valor Pago]])</f>
        <v>#DIV/0!</v>
      </c>
      <c r="E53" s="12"/>
    </row>
    <row r="54" spans="2:5" x14ac:dyDescent="0.25">
      <c r="B54" s="11"/>
      <c r="C54" s="12"/>
      <c r="D54" s="13" t="e">
        <f>((Tabela3[[#This Row],[Valor Vendido]]-Tabela3[[#This Row],[Valor Pago]])/Tabela3[[#This Row],[Valor Pago]])</f>
        <v>#DIV/0!</v>
      </c>
      <c r="E54" s="12"/>
    </row>
    <row r="55" spans="2:5" x14ac:dyDescent="0.25">
      <c r="B55" s="11"/>
      <c r="C55" s="12"/>
      <c r="D55" s="13" t="e">
        <f>((Tabela3[[#This Row],[Valor Vendido]]-Tabela3[[#This Row],[Valor Pago]])/Tabela3[[#This Row],[Valor Pago]])</f>
        <v>#DIV/0!</v>
      </c>
      <c r="E55" s="12"/>
    </row>
    <row r="56" spans="2:5" x14ac:dyDescent="0.25">
      <c r="B56" s="11"/>
      <c r="C56" s="12"/>
      <c r="D56" s="13" t="e">
        <f>((Tabela3[[#This Row],[Valor Vendido]]-Tabela3[[#This Row],[Valor Pago]])/Tabela3[[#This Row],[Valor Pago]])</f>
        <v>#DIV/0!</v>
      </c>
      <c r="E56" s="12"/>
    </row>
    <row r="57" spans="2:5" x14ac:dyDescent="0.25">
      <c r="B57" s="11"/>
      <c r="C57" s="12"/>
      <c r="D57" s="13" t="e">
        <f>((Tabela3[[#This Row],[Valor Vendido]]-Tabela3[[#This Row],[Valor Pago]])/Tabela3[[#This Row],[Valor Pago]])</f>
        <v>#DIV/0!</v>
      </c>
      <c r="E57" s="12"/>
    </row>
    <row r="58" spans="2:5" x14ac:dyDescent="0.25">
      <c r="B58" s="11"/>
      <c r="C58" s="12"/>
      <c r="D58" s="13" t="e">
        <f>((Tabela3[[#This Row],[Valor Vendido]]-Tabela3[[#This Row],[Valor Pago]])/Tabela3[[#This Row],[Valor Pago]])</f>
        <v>#DIV/0!</v>
      </c>
      <c r="E58" s="12"/>
    </row>
    <row r="59" spans="2:5" x14ac:dyDescent="0.25">
      <c r="B59" s="11"/>
      <c r="C59" s="12"/>
      <c r="D59" s="13" t="e">
        <f>((Tabela3[[#This Row],[Valor Vendido]]-Tabela3[[#This Row],[Valor Pago]])/Tabela3[[#This Row],[Valor Pago]])</f>
        <v>#DIV/0!</v>
      </c>
      <c r="E59" s="12"/>
    </row>
    <row r="60" spans="2:5" x14ac:dyDescent="0.25">
      <c r="B60" s="11"/>
      <c r="C60" s="12"/>
      <c r="D60" s="13" t="e">
        <f>((Tabela3[[#This Row],[Valor Vendido]]-Tabela3[[#This Row],[Valor Pago]])/Tabela3[[#This Row],[Valor Pago]])</f>
        <v>#DIV/0!</v>
      </c>
      <c r="E60" s="12"/>
    </row>
    <row r="61" spans="2:5" x14ac:dyDescent="0.25">
      <c r="B61" s="11"/>
      <c r="C61" s="12"/>
      <c r="D61" s="13" t="e">
        <f>((Tabela3[[#This Row],[Valor Vendido]]-Tabela3[[#This Row],[Valor Pago]])/Tabela3[[#This Row],[Valor Pago]])</f>
        <v>#DIV/0!</v>
      </c>
      <c r="E61" s="12"/>
    </row>
    <row r="62" spans="2:5" x14ac:dyDescent="0.25">
      <c r="B62" s="11"/>
      <c r="C62" s="12"/>
      <c r="D62" s="13" t="e">
        <f>((Tabela3[[#This Row],[Valor Vendido]]-Tabela3[[#This Row],[Valor Pago]])/Tabela3[[#This Row],[Valor Pago]])</f>
        <v>#DIV/0!</v>
      </c>
      <c r="E62" s="12"/>
    </row>
    <row r="63" spans="2:5" x14ac:dyDescent="0.25">
      <c r="B63" s="11"/>
      <c r="C63" s="12"/>
      <c r="D63" s="13" t="e">
        <f>((Tabela3[[#This Row],[Valor Vendido]]-Tabela3[[#This Row],[Valor Pago]])/Tabela3[[#This Row],[Valor Pago]])</f>
        <v>#DIV/0!</v>
      </c>
      <c r="E63" s="12"/>
    </row>
    <row r="64" spans="2:5" x14ac:dyDescent="0.25">
      <c r="B64" s="11"/>
      <c r="C64" s="12"/>
      <c r="D64" s="13" t="e">
        <f>((Tabela3[[#This Row],[Valor Vendido]]-Tabela3[[#This Row],[Valor Pago]])/Tabela3[[#This Row],[Valor Pago]])</f>
        <v>#DIV/0!</v>
      </c>
      <c r="E64" s="12"/>
    </row>
    <row r="65" spans="2:5" x14ac:dyDescent="0.25">
      <c r="B65" s="11"/>
      <c r="C65" s="12"/>
      <c r="D65" s="13" t="e">
        <f>((Tabela3[[#This Row],[Valor Vendido]]-Tabela3[[#This Row],[Valor Pago]])/Tabela3[[#This Row],[Valor Pago]])</f>
        <v>#DIV/0!</v>
      </c>
      <c r="E65" s="12"/>
    </row>
    <row r="66" spans="2:5" x14ac:dyDescent="0.25">
      <c r="B66" s="11"/>
      <c r="C66" s="12"/>
      <c r="D66" s="13" t="e">
        <f>((Tabela3[[#This Row],[Valor Vendido]]-Tabela3[[#This Row],[Valor Pago]])/Tabela3[[#This Row],[Valor Pago]])</f>
        <v>#DIV/0!</v>
      </c>
      <c r="E66" s="12"/>
    </row>
    <row r="67" spans="2:5" x14ac:dyDescent="0.25">
      <c r="B67" s="11"/>
      <c r="C67" s="12"/>
      <c r="D67" s="13" t="e">
        <f>((Tabela3[[#This Row],[Valor Vendido]]-Tabela3[[#This Row],[Valor Pago]])/Tabela3[[#This Row],[Valor Pago]])</f>
        <v>#DIV/0!</v>
      </c>
      <c r="E67" s="12"/>
    </row>
    <row r="68" spans="2:5" x14ac:dyDescent="0.25">
      <c r="B68" s="11"/>
      <c r="C68" s="12"/>
      <c r="D68" s="13" t="e">
        <f>((Tabela3[[#This Row],[Valor Vendido]]-Tabela3[[#This Row],[Valor Pago]])/Tabela3[[#This Row],[Valor Pago]])</f>
        <v>#DIV/0!</v>
      </c>
      <c r="E68" s="12"/>
    </row>
    <row r="69" spans="2:5" x14ac:dyDescent="0.25">
      <c r="B69" s="11"/>
      <c r="C69" s="12"/>
      <c r="D69" s="13" t="e">
        <f>((Tabela3[[#This Row],[Valor Vendido]]-Tabela3[[#This Row],[Valor Pago]])/Tabela3[[#This Row],[Valor Pago]])</f>
        <v>#DIV/0!</v>
      </c>
      <c r="E69" s="12"/>
    </row>
    <row r="70" spans="2:5" x14ac:dyDescent="0.25">
      <c r="B70" s="11"/>
      <c r="C70" s="12"/>
      <c r="D70" s="13" t="e">
        <f>((Tabela3[[#This Row],[Valor Vendido]]-Tabela3[[#This Row],[Valor Pago]])/Tabela3[[#This Row],[Valor Pago]])</f>
        <v>#DIV/0!</v>
      </c>
      <c r="E70" s="12"/>
    </row>
    <row r="71" spans="2:5" x14ac:dyDescent="0.25">
      <c r="B71" s="11"/>
      <c r="C71" s="12"/>
      <c r="D71" s="13" t="e">
        <f>((Tabela3[[#This Row],[Valor Vendido]]-Tabela3[[#This Row],[Valor Pago]])/Tabela3[[#This Row],[Valor Pago]])</f>
        <v>#DIV/0!</v>
      </c>
      <c r="E71" s="12"/>
    </row>
    <row r="72" spans="2:5" x14ac:dyDescent="0.25">
      <c r="B72" s="11"/>
      <c r="C72" s="12"/>
      <c r="D72" s="13" t="e">
        <f>((Tabela3[[#This Row],[Valor Vendido]]-Tabela3[[#This Row],[Valor Pago]])/Tabela3[[#This Row],[Valor Pago]])</f>
        <v>#DIV/0!</v>
      </c>
      <c r="E72" s="12"/>
    </row>
    <row r="73" spans="2:5" x14ac:dyDescent="0.25">
      <c r="B73" s="11"/>
      <c r="C73" s="12"/>
      <c r="D73" s="13" t="e">
        <f>((Tabela3[[#This Row],[Valor Vendido]]-Tabela3[[#This Row],[Valor Pago]])/Tabela3[[#This Row],[Valor Pago]])</f>
        <v>#DIV/0!</v>
      </c>
      <c r="E73" s="12"/>
    </row>
    <row r="74" spans="2:5" x14ac:dyDescent="0.25">
      <c r="B74" s="11"/>
      <c r="C74" s="12"/>
      <c r="D74" s="13" t="e">
        <f>((Tabela3[[#This Row],[Valor Vendido]]-Tabela3[[#This Row],[Valor Pago]])/Tabela3[[#This Row],[Valor Pago]])</f>
        <v>#DIV/0!</v>
      </c>
      <c r="E74" s="12"/>
    </row>
    <row r="75" spans="2:5" x14ac:dyDescent="0.25">
      <c r="B75" s="11"/>
      <c r="C75" s="12"/>
      <c r="D75" s="13" t="e">
        <f>((Tabela3[[#This Row],[Valor Vendido]]-Tabela3[[#This Row],[Valor Pago]])/Tabela3[[#This Row],[Valor Pago]])</f>
        <v>#DIV/0!</v>
      </c>
      <c r="E75" s="12"/>
    </row>
    <row r="76" spans="2:5" x14ac:dyDescent="0.25">
      <c r="B76" s="11"/>
      <c r="C76" s="12"/>
      <c r="D76" s="13" t="e">
        <f>((Tabela3[[#This Row],[Valor Vendido]]-Tabela3[[#This Row],[Valor Pago]])/Tabela3[[#This Row],[Valor Pago]])</f>
        <v>#DIV/0!</v>
      </c>
      <c r="E76" s="12"/>
    </row>
    <row r="77" spans="2:5" x14ac:dyDescent="0.25">
      <c r="B77" s="11"/>
      <c r="C77" s="12"/>
      <c r="D77" s="13" t="e">
        <f>((Tabela3[[#This Row],[Valor Vendido]]-Tabela3[[#This Row],[Valor Pago]])/Tabela3[[#This Row],[Valor Pago]])</f>
        <v>#DIV/0!</v>
      </c>
      <c r="E77" s="12"/>
    </row>
    <row r="78" spans="2:5" x14ac:dyDescent="0.25">
      <c r="B78" s="11"/>
      <c r="C78" s="12"/>
      <c r="D78" s="13" t="e">
        <f>((Tabela3[[#This Row],[Valor Vendido]]-Tabela3[[#This Row],[Valor Pago]])/Tabela3[[#This Row],[Valor Pago]])</f>
        <v>#DIV/0!</v>
      </c>
      <c r="E78" s="12"/>
    </row>
    <row r="79" spans="2:5" x14ac:dyDescent="0.25">
      <c r="B79" s="11"/>
      <c r="C79" s="12"/>
      <c r="D79" s="13" t="e">
        <f>((Tabela3[[#This Row],[Valor Vendido]]-Tabela3[[#This Row],[Valor Pago]])/Tabela3[[#This Row],[Valor Pago]])</f>
        <v>#DIV/0!</v>
      </c>
      <c r="E79" s="12"/>
    </row>
    <row r="80" spans="2:5" x14ac:dyDescent="0.25">
      <c r="B80" s="11"/>
      <c r="C80" s="12"/>
      <c r="D80" s="13" t="e">
        <f>((Tabela3[[#This Row],[Valor Vendido]]-Tabela3[[#This Row],[Valor Pago]])/Tabela3[[#This Row],[Valor Pago]])</f>
        <v>#DIV/0!</v>
      </c>
      <c r="E80" s="12"/>
    </row>
    <row r="81" spans="2:5" x14ac:dyDescent="0.25">
      <c r="B81" s="11"/>
      <c r="C81" s="12"/>
      <c r="D81" s="13" t="e">
        <f>((Tabela3[[#This Row],[Valor Vendido]]-Tabela3[[#This Row],[Valor Pago]])/Tabela3[[#This Row],[Valor Pago]])</f>
        <v>#DIV/0!</v>
      </c>
      <c r="E81" s="12"/>
    </row>
    <row r="82" spans="2:5" x14ac:dyDescent="0.25">
      <c r="B82" s="16"/>
      <c r="C82" s="17"/>
      <c r="D82" s="18" t="e">
        <f>((Tabela3[[#This Row],[Valor Vendido]]-Tabela3[[#This Row],[Valor Pago]])/Tabela3[[#This Row],[Valor Pago]])</f>
        <v>#DIV/0!</v>
      </c>
      <c r="E82" s="17"/>
    </row>
  </sheetData>
  <conditionalFormatting sqref="D3:D8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31"/>
  <sheetViews>
    <sheetView showGridLines="0" showRowColHeaders="0" tabSelected="1" zoomScale="130" zoomScaleNormal="13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.42578125" style="5" customWidth="1"/>
    <col min="2" max="2" width="9.85546875" style="5" customWidth="1"/>
    <col min="3" max="3" width="9.7109375" style="5" customWidth="1"/>
    <col min="4" max="4" width="14.140625" style="5" customWidth="1"/>
    <col min="5" max="5" width="31.140625" style="5" customWidth="1"/>
    <col min="6" max="6" width="12.28515625" style="5" bestFit="1" customWidth="1"/>
    <col min="7" max="7" width="14.5703125" style="5" customWidth="1"/>
    <col min="8" max="8" width="11.28515625" style="5" customWidth="1"/>
    <col min="9" max="9" width="9.140625" style="5"/>
    <col min="10" max="10" width="10.5703125" style="5" customWidth="1"/>
    <col min="11" max="11" width="9.140625" style="5"/>
    <col min="12" max="12" width="6.7109375" style="5" customWidth="1"/>
    <col min="13" max="13" width="9.140625" style="5"/>
    <col min="14" max="14" width="10.85546875" style="5" customWidth="1"/>
    <col min="15" max="15" width="9.140625" style="5"/>
    <col min="16" max="16" width="6.85546875" style="5" customWidth="1"/>
    <col min="17" max="17" width="9.140625" style="5"/>
    <col min="18" max="18" width="13.140625" style="5" bestFit="1" customWidth="1"/>
    <col min="19" max="19" width="13.85546875" style="5" bestFit="1" customWidth="1"/>
    <col min="20" max="20" width="13.140625" style="5" bestFit="1" customWidth="1"/>
    <col min="21" max="21" width="12.85546875" style="5" bestFit="1" customWidth="1"/>
    <col min="22" max="22" width="15" style="5" bestFit="1" customWidth="1"/>
    <col min="23" max="16384" width="9.140625" style="5"/>
  </cols>
  <sheetData>
    <row r="1" spans="2:23" s="1" customFormat="1" ht="42.75" customHeight="1" x14ac:dyDescent="0.25">
      <c r="B1" s="2"/>
      <c r="C1" s="2"/>
      <c r="D1" s="2"/>
      <c r="E1" s="2"/>
      <c r="F1" s="2"/>
      <c r="R1" s="21">
        <f ca="1">SUMPRODUCT(SUBTOTAL(9,OFFSET(INDEX(Tabela273[Valor],1),ROW(Tabela273[Valor])-ROW(INDEX(Tabela273[Valor],1)),,1)),--(Tabela273[Pago]="dinheiro"))</f>
        <v>-1000</v>
      </c>
      <c r="S1" s="21">
        <f ca="1">SUMPRODUCT(SUBTOTAL(9,OFFSET(INDEX(Tabela273[Valor],1),ROW(Tabela273[Valor])-ROW(INDEX(Tabela273[Valor],1)),,1)),--(Tabela273[Pago]="debito"))</f>
        <v>0</v>
      </c>
      <c r="T1" s="21">
        <f ca="1">SUMPRODUCT(SUBTOTAL(9,OFFSET(INDEX(Tabela273[Valor],1),ROW(Tabela273[Valor])-ROW(INDEX(Tabela273[Valor],1)),,1)),--(Tabela273[Pago]="credito"))</f>
        <v>20000</v>
      </c>
      <c r="U1" s="21">
        <f ca="1">SUMPRODUCT(SUBTOTAL(9,OFFSET(INDEX(Tabela273[Valor],1),ROW(Tabela273[Valor])-ROW(INDEX(Tabela273[Valor],1)),,1)),--(Tabela273[Pago]="pix"))</f>
        <v>50000</v>
      </c>
      <c r="V1" s="21">
        <f>SUBTOTAL(9,Tabela273[Valor])</f>
        <v>69000</v>
      </c>
      <c r="W1" s="20"/>
    </row>
    <row r="2" spans="2:23" ht="39" customHeight="1" x14ac:dyDescent="0.25">
      <c r="F2" s="19"/>
      <c r="S2" s="22"/>
    </row>
    <row r="3" spans="2:23" ht="31.5" customHeight="1" x14ac:dyDescent="0.25">
      <c r="B3" s="27" t="s">
        <v>3</v>
      </c>
      <c r="C3" s="27" t="s">
        <v>2</v>
      </c>
      <c r="D3" s="27" t="s">
        <v>1</v>
      </c>
      <c r="E3" s="27" t="s">
        <v>5</v>
      </c>
      <c r="F3" s="27" t="s">
        <v>6</v>
      </c>
      <c r="G3" s="27" t="s">
        <v>10</v>
      </c>
      <c r="H3" s="27" t="s">
        <v>4</v>
      </c>
    </row>
    <row r="4" spans="2:23" x14ac:dyDescent="0.25">
      <c r="B4" s="23">
        <v>11</v>
      </c>
      <c r="C4" s="23">
        <v>2</v>
      </c>
      <c r="D4" s="24">
        <v>46064</v>
      </c>
      <c r="E4" s="25" t="s">
        <v>7</v>
      </c>
      <c r="F4" s="24" t="s">
        <v>8</v>
      </c>
      <c r="G4" s="26">
        <v>50000</v>
      </c>
      <c r="H4" s="23" t="s">
        <v>9</v>
      </c>
    </row>
    <row r="5" spans="2:23" x14ac:dyDescent="0.25">
      <c r="B5" s="23">
        <v>12</v>
      </c>
      <c r="C5" s="23">
        <v>3</v>
      </c>
      <c r="D5" s="24">
        <v>46093</v>
      </c>
      <c r="E5" s="25" t="s">
        <v>11</v>
      </c>
      <c r="F5" s="24" t="s">
        <v>8</v>
      </c>
      <c r="G5" s="26">
        <v>20000</v>
      </c>
      <c r="H5" s="23" t="s">
        <v>12</v>
      </c>
    </row>
    <row r="6" spans="2:23" x14ac:dyDescent="0.25">
      <c r="B6" s="23">
        <v>23</v>
      </c>
      <c r="C6" s="23">
        <v>7</v>
      </c>
      <c r="D6" s="24">
        <v>46226</v>
      </c>
      <c r="E6" s="25" t="s">
        <v>14</v>
      </c>
      <c r="F6" s="24" t="s">
        <v>15</v>
      </c>
      <c r="G6" s="26">
        <v>-1000</v>
      </c>
      <c r="H6" s="23" t="s">
        <v>16</v>
      </c>
    </row>
    <row r="7" spans="2:23" x14ac:dyDescent="0.25">
      <c r="B7" s="23"/>
      <c r="C7" s="23"/>
      <c r="D7" s="24"/>
      <c r="E7" s="25"/>
      <c r="F7" s="24"/>
      <c r="G7" s="26"/>
      <c r="H7" s="23"/>
    </row>
    <row r="8" spans="2:23" x14ac:dyDescent="0.25">
      <c r="B8" s="23"/>
      <c r="C8" s="23"/>
      <c r="D8" s="24"/>
      <c r="E8" s="25"/>
      <c r="F8" s="24"/>
      <c r="G8" s="26"/>
      <c r="H8" s="23"/>
    </row>
    <row r="9" spans="2:23" x14ac:dyDescent="0.25">
      <c r="B9" s="23"/>
      <c r="C9" s="23"/>
      <c r="D9" s="24"/>
      <c r="E9" s="25"/>
      <c r="F9" s="24"/>
      <c r="G9" s="26"/>
      <c r="H9" s="23"/>
    </row>
    <row r="10" spans="2:23" x14ac:dyDescent="0.25">
      <c r="B10" s="23"/>
      <c r="C10" s="23"/>
      <c r="D10" s="24"/>
      <c r="E10" s="25"/>
      <c r="F10" s="24"/>
      <c r="G10" s="26"/>
      <c r="H10" s="23"/>
    </row>
    <row r="11" spans="2:23" x14ac:dyDescent="0.25">
      <c r="B11" s="23"/>
      <c r="C11" s="23"/>
      <c r="D11" s="24"/>
      <c r="E11" s="25"/>
      <c r="F11" s="24"/>
      <c r="G11" s="26"/>
      <c r="H11" s="23"/>
    </row>
    <row r="12" spans="2:23" x14ac:dyDescent="0.25">
      <c r="B12" s="23"/>
      <c r="C12" s="23"/>
      <c r="D12" s="24"/>
      <c r="E12" s="25"/>
      <c r="F12" s="24"/>
      <c r="G12" s="26"/>
      <c r="H12" s="23"/>
    </row>
    <row r="13" spans="2:23" x14ac:dyDescent="0.25">
      <c r="B13" s="23"/>
      <c r="C13" s="23"/>
      <c r="D13" s="24"/>
      <c r="E13" s="25"/>
      <c r="F13" s="24"/>
      <c r="G13" s="26"/>
      <c r="H13" s="23"/>
    </row>
    <row r="14" spans="2:23" x14ac:dyDescent="0.25">
      <c r="B14" s="23"/>
      <c r="C14" s="23"/>
      <c r="D14" s="24"/>
      <c r="E14" s="25"/>
      <c r="F14" s="24"/>
      <c r="G14" s="26"/>
      <c r="H14" s="23"/>
    </row>
    <row r="15" spans="2:23" x14ac:dyDescent="0.25">
      <c r="B15" s="23"/>
      <c r="C15" s="23"/>
      <c r="D15" s="24"/>
      <c r="E15" s="25"/>
      <c r="F15" s="24"/>
      <c r="G15" s="26"/>
      <c r="H15" s="23"/>
    </row>
    <row r="16" spans="2:23" x14ac:dyDescent="0.25">
      <c r="B16" s="23"/>
      <c r="C16" s="23"/>
      <c r="D16" s="24"/>
      <c r="E16" s="25"/>
      <c r="F16" s="24"/>
      <c r="G16" s="26"/>
      <c r="H16" s="23"/>
    </row>
    <row r="17" spans="2:8" x14ac:dyDescent="0.25">
      <c r="B17" s="23"/>
      <c r="C17" s="23"/>
      <c r="D17" s="24"/>
      <c r="E17" s="25"/>
      <c r="F17" s="24"/>
      <c r="G17" s="26"/>
      <c r="H17" s="23"/>
    </row>
    <row r="18" spans="2:8" x14ac:dyDescent="0.25">
      <c r="B18" s="23"/>
      <c r="C18" s="23"/>
      <c r="D18" s="24"/>
      <c r="E18" s="25"/>
      <c r="F18" s="24"/>
      <c r="G18" s="26"/>
      <c r="H18" s="23"/>
    </row>
    <row r="19" spans="2:8" x14ac:dyDescent="0.25">
      <c r="B19" s="23"/>
      <c r="C19" s="23"/>
      <c r="D19" s="24"/>
      <c r="E19" s="25"/>
      <c r="F19" s="24"/>
      <c r="G19" s="26"/>
      <c r="H19" s="23"/>
    </row>
    <row r="20" spans="2:8" x14ac:dyDescent="0.25">
      <c r="B20" s="23"/>
      <c r="C20" s="23"/>
      <c r="D20" s="24"/>
      <c r="E20" s="25"/>
      <c r="F20" s="24"/>
      <c r="G20" s="26"/>
      <c r="H20" s="23"/>
    </row>
    <row r="21" spans="2:8" x14ac:dyDescent="0.25">
      <c r="B21" s="23"/>
      <c r="C21" s="23"/>
      <c r="D21" s="24"/>
      <c r="E21" s="25"/>
      <c r="F21" s="24"/>
      <c r="G21" s="26"/>
      <c r="H21" s="23"/>
    </row>
    <row r="22" spans="2:8" x14ac:dyDescent="0.25">
      <c r="B22" s="23"/>
      <c r="C22" s="23"/>
      <c r="D22" s="24"/>
      <c r="E22" s="25"/>
      <c r="F22" s="24"/>
      <c r="G22" s="26"/>
      <c r="H22" s="23"/>
    </row>
    <row r="23" spans="2:8" x14ac:dyDescent="0.25">
      <c r="B23" s="23"/>
      <c r="C23" s="23"/>
      <c r="D23" s="24"/>
      <c r="E23" s="25"/>
      <c r="F23" s="24"/>
      <c r="G23" s="26"/>
      <c r="H23" s="23"/>
    </row>
    <row r="24" spans="2:8" x14ac:dyDescent="0.25">
      <c r="B24" s="23"/>
      <c r="C24" s="23"/>
      <c r="D24" s="24"/>
      <c r="E24" s="25"/>
      <c r="F24" s="24"/>
      <c r="G24" s="26"/>
      <c r="H24" s="23"/>
    </row>
    <row r="25" spans="2:8" x14ac:dyDescent="0.25">
      <c r="B25" s="23"/>
      <c r="C25" s="23"/>
      <c r="D25" s="24"/>
      <c r="E25" s="25"/>
      <c r="F25" s="24"/>
      <c r="G25" s="26"/>
      <c r="H25" s="23"/>
    </row>
    <row r="26" spans="2:8" x14ac:dyDescent="0.25">
      <c r="B26" s="23"/>
      <c r="C26" s="23"/>
      <c r="D26" s="24"/>
      <c r="E26" s="25"/>
      <c r="F26" s="24"/>
      <c r="G26" s="26"/>
      <c r="H26" s="23"/>
    </row>
    <row r="27" spans="2:8" x14ac:dyDescent="0.25">
      <c r="B27" s="23"/>
      <c r="C27" s="23"/>
      <c r="D27" s="24"/>
      <c r="E27" s="25"/>
      <c r="F27" s="24"/>
      <c r="G27" s="26"/>
      <c r="H27" s="23"/>
    </row>
    <row r="28" spans="2:8" x14ac:dyDescent="0.25">
      <c r="B28" s="23"/>
      <c r="C28" s="23"/>
      <c r="D28" s="24"/>
      <c r="E28" s="25"/>
      <c r="F28" s="24"/>
      <c r="G28" s="26"/>
      <c r="H28" s="23"/>
    </row>
    <row r="29" spans="2:8" x14ac:dyDescent="0.25">
      <c r="B29" s="23"/>
      <c r="C29" s="23"/>
      <c r="D29" s="24"/>
      <c r="E29" s="25"/>
      <c r="F29" s="24"/>
      <c r="G29" s="26"/>
      <c r="H29" s="23"/>
    </row>
    <row r="30" spans="2:8" x14ac:dyDescent="0.25">
      <c r="B30" s="23"/>
      <c r="C30" s="23"/>
      <c r="D30" s="24"/>
      <c r="E30" s="25"/>
      <c r="F30" s="24"/>
      <c r="G30" s="28"/>
      <c r="H30" s="23"/>
    </row>
    <row r="31" spans="2:8" x14ac:dyDescent="0.25">
      <c r="B31" s="23"/>
      <c r="C31" s="23"/>
      <c r="D31" s="24"/>
      <c r="E31" s="25"/>
      <c r="F31" s="24"/>
      <c r="G31" s="28"/>
      <c r="H31" s="23"/>
    </row>
  </sheetData>
  <conditionalFormatting sqref="F4:F31">
    <cfRule type="expression" dxfId="2" priority="2">
      <formula>$F4="ENTRADA"</formula>
    </cfRule>
  </conditionalFormatting>
  <conditionalFormatting sqref="F4:F31">
    <cfRule type="expression" dxfId="1" priority="1">
      <formula>$F4="SAIDA"</formula>
    </cfRule>
  </conditionalFormatting>
  <dataValidations count="2">
    <dataValidation type="list" allowBlank="1" showInputMessage="1" showErrorMessage="1" sqref="H4:H31" xr:uid="{00000000-0002-0000-0100-000000000000}">
      <formula1>"Dinheiro,Debito,Credito,Pix"</formula1>
    </dataValidation>
    <dataValidation type="list" allowBlank="1" showInputMessage="1" showErrorMessage="1" sqref="F4:F31" xr:uid="{00000000-0002-0000-0100-000001000000}">
      <formula1>"ENTRADA,SAIDA"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Mercadoria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Usuario</cp:lastModifiedBy>
  <dcterms:created xsi:type="dcterms:W3CDTF">2025-10-30T13:07:50Z</dcterms:created>
  <dcterms:modified xsi:type="dcterms:W3CDTF">2026-04-15T18:01:17Z</dcterms:modified>
</cp:coreProperties>
</file>